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15" windowWidth="22755" windowHeight="10530" activeTab="3"/>
  </bookViews>
  <sheets>
    <sheet name="Sheet1" sheetId="1" r:id="rId1"/>
    <sheet name="PER AREA AND PER EXHIBIT" sheetId="2" r:id="rId2"/>
    <sheet name="PER EXHIBIT" sheetId="3" r:id="rId3"/>
    <sheet name="Sheet2" sheetId="4" r:id="rId4"/>
  </sheets>
  <calcPr calcId="145621"/>
</workbook>
</file>

<file path=xl/calcChain.xml><?xml version="1.0" encoding="utf-8"?>
<calcChain xmlns="http://schemas.openxmlformats.org/spreadsheetml/2006/main">
  <c r="G7" i="3" l="1"/>
  <c r="G6" i="3"/>
  <c r="J7" i="1"/>
  <c r="I7" i="1"/>
  <c r="I7" i="2" l="1"/>
  <c r="B7" i="2"/>
  <c r="AA19" i="1"/>
  <c r="Z19" i="1"/>
  <c r="J6" i="1"/>
  <c r="I6" i="1"/>
</calcChain>
</file>

<file path=xl/sharedStrings.xml><?xml version="1.0" encoding="utf-8"?>
<sst xmlns="http://schemas.openxmlformats.org/spreadsheetml/2006/main" count="153" uniqueCount="79">
  <si>
    <t>Year</t>
  </si>
  <si>
    <t>WorldBex</t>
  </si>
  <si>
    <t>PHA</t>
  </si>
  <si>
    <t>PHILCONSTRUCT</t>
  </si>
  <si>
    <t>ATTENDEES</t>
  </si>
  <si>
    <t>CLIENT</t>
  </si>
  <si>
    <t>Total</t>
  </si>
  <si>
    <t xml:space="preserve"> Leads</t>
  </si>
  <si>
    <t>Client</t>
  </si>
  <si>
    <t>TOTAL</t>
  </si>
  <si>
    <t>Contract Amount</t>
  </si>
  <si>
    <t xml:space="preserve">Total </t>
  </si>
  <si>
    <t>Louie Valenzuela</t>
  </si>
  <si>
    <t>Beth Depasupil</t>
  </si>
  <si>
    <t>Mark Jabat</t>
  </si>
  <si>
    <t>OVERALL</t>
  </si>
  <si>
    <t>NORTH LUZON</t>
  </si>
  <si>
    <t>CENTRAL</t>
  </si>
  <si>
    <t>SOUTH LUZON</t>
  </si>
  <si>
    <t xml:space="preserve">CENTRAL </t>
  </si>
  <si>
    <t>WorldBex 2026</t>
  </si>
  <si>
    <t>Converted Client</t>
  </si>
  <si>
    <t>Total Converted Client</t>
  </si>
  <si>
    <t>Attendees</t>
  </si>
  <si>
    <t>Total Amount</t>
  </si>
  <si>
    <t>Active Leads</t>
  </si>
  <si>
    <t>New Leads</t>
  </si>
  <si>
    <t>Converted</t>
  </si>
  <si>
    <r>
      <t>1. New Lead</t>
    </r>
    <r>
      <rPr>
        <sz val="11"/>
        <color theme="1"/>
        <rFont val="Calibri"/>
        <family val="2"/>
        <scheme val="minor"/>
      </rPr>
      <t xml:space="preserve"> – bagong attendee</t>
    </r>
  </si>
  <si>
    <r>
      <t>2. Uncontacted</t>
    </r>
    <r>
      <rPr>
        <sz val="11"/>
        <color theme="1"/>
        <rFont val="Calibri"/>
        <family val="2"/>
        <scheme val="minor"/>
      </rPr>
      <t xml:space="preserve"> – hindi pa natawagan</t>
    </r>
  </si>
  <si>
    <r>
      <t>3. Contacted</t>
    </r>
    <r>
      <rPr>
        <sz val="11"/>
        <color theme="1"/>
        <rFont val="Calibri"/>
        <family val="2"/>
        <scheme val="minor"/>
      </rPr>
      <t xml:space="preserve"> – nakausap na</t>
    </r>
  </si>
  <si>
    <r>
      <t>4. Interested</t>
    </r>
    <r>
      <rPr>
        <sz val="11"/>
        <color theme="1"/>
        <rFont val="Calibri"/>
        <family val="2"/>
        <scheme val="minor"/>
      </rPr>
      <t xml:space="preserve"> – may potential</t>
    </r>
  </si>
  <si>
    <r>
      <t>5. Follow-up Needed</t>
    </r>
    <r>
      <rPr>
        <sz val="11"/>
        <color theme="1"/>
        <rFont val="Calibri"/>
        <family val="2"/>
        <scheme val="minor"/>
      </rPr>
      <t xml:space="preserve"> – kailangan balikan</t>
    </r>
  </si>
  <si>
    <t>lead_status</t>
  </si>
  <si>
    <t>6. For RFQ</t>
  </si>
  <si>
    <t>8. Revised Proposal</t>
  </si>
  <si>
    <t>9. Lead Signed Proposal</t>
  </si>
  <si>
    <r>
      <t>10. Converted</t>
    </r>
    <r>
      <rPr>
        <sz val="11"/>
        <color theme="1"/>
        <rFont val="Calibri"/>
        <family val="2"/>
        <scheme val="minor"/>
      </rPr>
      <t xml:space="preserve"> – naging client/customer</t>
    </r>
  </si>
  <si>
    <r>
      <t>11. Closed / Not Interested</t>
    </r>
    <r>
      <rPr>
        <sz val="11"/>
        <color theme="1"/>
        <rFont val="Calibri"/>
        <family val="2"/>
        <scheme val="minor"/>
      </rPr>
      <t xml:space="preserve"> – hindi interested</t>
    </r>
  </si>
  <si>
    <r>
      <t>7. Lead Received Proposal -</t>
    </r>
    <r>
      <rPr>
        <sz val="11"/>
        <color theme="1"/>
        <rFont val="Calibri"/>
        <family val="2"/>
        <scheme val="minor"/>
      </rPr>
      <t xml:space="preserve"> (For Bidding)</t>
    </r>
  </si>
  <si>
    <t>New Lead</t>
  </si>
  <si>
    <t>Company</t>
  </si>
  <si>
    <t>ABC</t>
  </si>
  <si>
    <t>12. Existing Client</t>
  </si>
  <si>
    <t>conversion_status</t>
  </si>
  <si>
    <t>Existing Client</t>
  </si>
  <si>
    <t>attendees_list</t>
  </si>
  <si>
    <t>Dito pumapasok yung Lead Status at Conversion status naka per year</t>
  </si>
  <si>
    <t>participants</t>
  </si>
  <si>
    <t>Dito pumapasok yung mga umattend ng exhibit, mga contact person</t>
  </si>
  <si>
    <t>participants_update</t>
  </si>
  <si>
    <t>Dito pumapasok yung logs everytime na mag update ng lead status si PSC</t>
  </si>
  <si>
    <t>assigned_agent</t>
  </si>
  <si>
    <t>Dito pumapasok yung mga assigned psc per lead at kung sino ang nag assigned</t>
  </si>
  <si>
    <t>assigned_agent_logs</t>
  </si>
  <si>
    <t>Dito pumapasok yung mga previous assigned psc at kung sino ang pinalit</t>
  </si>
  <si>
    <r>
      <t xml:space="preserve">Not Yet Converted </t>
    </r>
    <r>
      <rPr>
        <sz val="11"/>
        <color theme="1"/>
        <rFont val="Calibri"/>
        <family val="2"/>
        <scheme val="minor"/>
      </rPr>
      <t>(Default)</t>
    </r>
  </si>
  <si>
    <t>YEAR</t>
  </si>
  <si>
    <t>PSC NAME</t>
  </si>
  <si>
    <t>STATUS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</si>
  <si>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</si>
  <si>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</si>
  <si>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</si>
  <si>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</si>
  <si>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</si>
  <si>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</si>
  <si>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</si>
  <si>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</si>
  <si>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</si>
  <si>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</si>
  <si>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</si>
  <si>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</si>
  <si>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TOTAL LEADS</t>
  </si>
  <si>
    <t>CONVERTED</t>
  </si>
  <si>
    <t>ALLAN DE LEON</t>
  </si>
  <si>
    <t>AMOUNT</t>
  </si>
  <si>
    <t>NAME</t>
  </si>
  <si>
    <t>SALES MONITORING
PER PSC</t>
  </si>
  <si>
    <t>RIZZA DIZON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</si>
</sst>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</borders>
  <cellStyleXfs count="19">
    <xf numFmtId="0" fontId="0" fillId="0" borderId="0"/>
    <xf numFmtId="0" fontId="4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4" fillId="9" borderId="0" applyNumberFormat="0" applyBorder="0" applyAlignment="0" applyProtection="0"/>
    <xf numFmtId="0" fontId="1" fillId="10" borderId="0" applyNumberFormat="0" applyBorder="0" applyAlignment="0" applyProtection="0"/>
    <xf numFmtId="0" fontId="4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4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43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80">
    <xf numFmtId="0" fontId="0" fillId="0" borderId="0" xfId="0"/>
    <xf numFmtId="0" fontId="5" fillId="13" borderId="1" xfId="12" applyFont="1" applyBorder="1" applyAlignment="1">
      <alignment horizontal="center"/>
    </xf>
    <xf numFmtId="0" fontId="5" fillId="17" borderId="1" xfId="16" applyFont="1" applyBorder="1" applyAlignment="1">
      <alignment horizontal="center"/>
    </xf>
    <xf numFmtId="0" fontId="1" fillId="7" borderId="1" xfId="6" applyBorder="1"/>
    <xf numFmtId="0" fontId="1" fillId="12" borderId="1" xfId="11" applyBorder="1"/>
    <xf numFmtId="0" fontId="1" fillId="16" borderId="1" xfId="15" applyBorder="1"/>
    <xf numFmtId="0" fontId="6" fillId="11" borderId="1" xfId="10" applyFont="1" applyBorder="1" applyAlignment="1">
      <alignment horizontal="center"/>
    </xf>
    <xf numFmtId="0" fontId="6" fillId="15" borderId="1" xfId="14" applyFont="1" applyBorder="1" applyAlignment="1">
      <alignment horizontal="center"/>
    </xf>
    <xf numFmtId="0" fontId="2" fillId="2" borderId="1" xfId="1" applyFont="1" applyBorder="1" applyAlignment="1">
      <alignment horizontal="center"/>
    </xf>
    <xf numFmtId="0" fontId="1" fillId="4" borderId="1" xfId="3" applyBorder="1" applyAlignment="1">
      <alignment horizontal="center" vertical="center"/>
    </xf>
    <xf numFmtId="0" fontId="1" fillId="3" borderId="1" xfId="2" applyBorder="1"/>
    <xf numFmtId="0" fontId="1" fillId="7" borderId="1" xfId="6" applyBorder="1" applyAlignment="1">
      <alignment horizontal="center" vertical="center"/>
    </xf>
    <xf numFmtId="0" fontId="1" fillId="12" borderId="1" xfId="11" applyBorder="1" applyAlignment="1">
      <alignment horizontal="center" vertical="center"/>
    </xf>
    <xf numFmtId="0" fontId="1" fillId="16" borderId="1" xfId="15" applyBorder="1" applyAlignment="1">
      <alignment horizontal="center" vertical="center"/>
    </xf>
    <xf numFmtId="0" fontId="1" fillId="3" borderId="1" xfId="2" applyBorder="1" applyAlignment="1">
      <alignment horizontal="center" vertical="center"/>
    </xf>
    <xf numFmtId="0" fontId="4" fillId="2" borderId="1" xfId="1" applyBorder="1" applyAlignment="1">
      <alignment horizontal="center"/>
    </xf>
    <xf numFmtId="0" fontId="6" fillId="6" borderId="1" xfId="5" applyFont="1" applyBorder="1" applyAlignment="1">
      <alignment horizontal="center"/>
    </xf>
    <xf numFmtId="0" fontId="5" fillId="8" borderId="1" xfId="7" applyFont="1" applyBorder="1" applyAlignment="1">
      <alignment horizontal="center"/>
    </xf>
    <xf numFmtId="0" fontId="5" fillId="8" borderId="1" xfId="7" applyFont="1" applyBorder="1" applyAlignment="1">
      <alignment horizontal="center" vertical="center" wrapText="1"/>
    </xf>
    <xf numFmtId="0" fontId="1" fillId="7" borderId="1" xfId="6" applyBorder="1" applyAlignment="1">
      <alignment vertical="center"/>
    </xf>
    <xf numFmtId="0" fontId="0" fillId="0" borderId="0" xfId="0" applyAlignment="1">
      <alignment vertical="center"/>
    </xf>
    <xf numFmtId="0" fontId="3" fillId="13" borderId="1" xfId="12" applyFont="1" applyBorder="1" applyAlignment="1">
      <alignment horizontal="center" vertical="center" wrapText="1"/>
    </xf>
    <xf numFmtId="0" fontId="3" fillId="5" borderId="1" xfId="4" applyFont="1" applyBorder="1" applyAlignment="1">
      <alignment horizontal="center" vertical="center"/>
    </xf>
    <xf numFmtId="0" fontId="3" fillId="5" borderId="1" xfId="4" applyFont="1" applyBorder="1" applyAlignment="1">
      <alignment horizontal="center"/>
    </xf>
    <xf numFmtId="3" fontId="7" fillId="9" borderId="1" xfId="8" applyNumberFormat="1" applyFont="1" applyBorder="1" applyAlignment="1">
      <alignment horizontal="center" vertical="center"/>
    </xf>
    <xf numFmtId="3" fontId="7" fillId="9" borderId="1" xfId="8" applyNumberFormat="1" applyFont="1" applyBorder="1"/>
    <xf numFmtId="0" fontId="5" fillId="8" borderId="1" xfId="7" applyFont="1" applyBorder="1" applyAlignment="1">
      <alignment horizontal="center" vertical="center"/>
    </xf>
    <xf numFmtId="0" fontId="8" fillId="13" borderId="5" xfId="12" applyFont="1" applyBorder="1" applyAlignment="1">
      <alignment horizontal="center"/>
    </xf>
    <xf numFmtId="0" fontId="3" fillId="13" borderId="1" xfId="12" applyFont="1" applyBorder="1" applyAlignment="1">
      <alignment horizontal="center" vertical="center"/>
    </xf>
    <xf numFmtId="0" fontId="3" fillId="17" borderId="1" xfId="16" applyFont="1" applyBorder="1" applyAlignment="1">
      <alignment horizontal="center" vertical="center"/>
    </xf>
    <xf numFmtId="0" fontId="8" fillId="8" borderId="5" xfId="7" applyFont="1" applyBorder="1" applyAlignment="1">
      <alignment horizontal="center"/>
    </xf>
    <xf numFmtId="0" fontId="8" fillId="17" borderId="5" xfId="16" applyFont="1" applyBorder="1" applyAlignment="1">
      <alignment horizontal="center"/>
    </xf>
    <xf numFmtId="0" fontId="2" fillId="6" borderId="9" xfId="5" applyFont="1" applyBorder="1" applyAlignment="1">
      <alignment horizontal="center"/>
    </xf>
    <xf numFmtId="0" fontId="3" fillId="17" borderId="9" xfId="16" applyFont="1" applyBorder="1" applyAlignment="1">
      <alignment horizontal="center" vertical="center" wrapText="1"/>
    </xf>
    <xf numFmtId="0" fontId="3" fillId="14" borderId="9" xfId="13" applyFont="1" applyBorder="1" applyAlignment="1">
      <alignment horizontal="center" vertical="center" wrapText="1"/>
    </xf>
    <xf numFmtId="0" fontId="3" fillId="10" borderId="9" xfId="9" applyFont="1" applyBorder="1" applyAlignment="1">
      <alignment horizontal="center" vertical="center" wrapText="1"/>
    </xf>
    <xf numFmtId="0" fontId="2" fillId="6" borderId="9" xfId="5" applyFont="1" applyBorder="1" applyAlignment="1">
      <alignment horizontal="center" vertical="center"/>
    </xf>
    <xf numFmtId="0" fontId="1" fillId="17" borderId="9" xfId="16" applyBorder="1" applyAlignment="1">
      <alignment horizontal="center" vertical="center" wrapText="1"/>
    </xf>
    <xf numFmtId="0" fontId="1" fillId="14" borderId="9" xfId="13" applyBorder="1" applyAlignment="1">
      <alignment horizontal="center" vertical="center" wrapText="1"/>
    </xf>
    <xf numFmtId="0" fontId="1" fillId="10" borderId="9" xfId="9" applyBorder="1" applyAlignment="1">
      <alignment horizontal="center" vertical="center" wrapText="1"/>
    </xf>
    <xf numFmtId="0" fontId="4" fillId="6" borderId="9" xfId="5" applyBorder="1" applyAlignment="1">
      <alignment horizontal="center" vertical="center"/>
    </xf>
    <xf numFmtId="164" fontId="6" fillId="6" borderId="9" xfId="5" applyNumberFormat="1" applyFont="1" applyBorder="1" applyAlignment="1">
      <alignment horizontal="center" vertical="center"/>
    </xf>
    <xf numFmtId="3" fontId="7" fillId="9" borderId="9" xfId="8" applyNumberFormat="1" applyFont="1" applyBorder="1" applyAlignment="1">
      <alignment horizontal="center" vertical="center"/>
    </xf>
    <xf numFmtId="0" fontId="3" fillId="4" borderId="1" xfId="3" applyFont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center" indent="1"/>
    </xf>
    <xf numFmtId="0" fontId="9" fillId="0" borderId="0" xfId="18"/>
    <xf numFmtId="0" fontId="0" fillId="0" borderId="0" xfId="0" applyAlignment="1">
      <alignment wrapText="1"/>
    </xf>
    <xf numFmtId="43" fontId="0" fillId="0" borderId="0" xfId="17" applyFont="1"/>
    <xf numFmtId="0" fontId="8" fillId="4" borderId="6" xfId="3" applyFont="1" applyBorder="1" applyAlignment="1">
      <alignment horizontal="center"/>
    </xf>
    <xf numFmtId="0" fontId="6" fillId="15" borderId="7" xfId="14" applyFont="1" applyBorder="1" applyAlignment="1">
      <alignment horizontal="center"/>
    </xf>
    <xf numFmtId="0" fontId="6" fillId="15" borderId="6" xfId="14" applyFont="1" applyBorder="1" applyAlignment="1">
      <alignment horizontal="center"/>
    </xf>
    <xf numFmtId="0" fontId="6" fillId="15" borderId="8" xfId="14" applyFont="1" applyBorder="1" applyAlignment="1">
      <alignment horizontal="center"/>
    </xf>
    <xf numFmtId="0" fontId="6" fillId="11" borderId="3" xfId="10" applyFont="1" applyBorder="1" applyAlignment="1">
      <alignment horizontal="center"/>
    </xf>
    <xf numFmtId="0" fontId="6" fillId="11" borderId="5" xfId="10" applyFont="1" applyBorder="1" applyAlignment="1">
      <alignment horizontal="center"/>
    </xf>
    <xf numFmtId="0" fontId="6" fillId="11" borderId="4" xfId="10" applyFont="1" applyBorder="1" applyAlignment="1">
      <alignment horizontal="center"/>
    </xf>
    <xf numFmtId="0" fontId="6" fillId="6" borderId="3" xfId="5" applyFont="1" applyBorder="1" applyAlignment="1">
      <alignment horizontal="center"/>
    </xf>
    <xf numFmtId="0" fontId="6" fillId="6" borderId="5" xfId="5" applyFont="1" applyBorder="1" applyAlignment="1">
      <alignment horizontal="center"/>
    </xf>
    <xf numFmtId="0" fontId="6" fillId="6" borderId="4" xfId="5" applyFont="1" applyBorder="1" applyAlignment="1">
      <alignment horizontal="center"/>
    </xf>
    <xf numFmtId="0" fontId="6" fillId="6" borderId="1" xfId="5" applyFont="1" applyBorder="1" applyAlignment="1">
      <alignment horizontal="center"/>
    </xf>
    <xf numFmtId="0" fontId="6" fillId="11" borderId="1" xfId="10" applyFont="1" applyBorder="1" applyAlignment="1">
      <alignment horizontal="center"/>
    </xf>
    <xf numFmtId="0" fontId="6" fillId="15" borderId="1" xfId="14" applyFont="1" applyBorder="1" applyAlignment="1">
      <alignment horizontal="center"/>
    </xf>
    <xf numFmtId="0" fontId="2" fillId="2" borderId="1" xfId="1" applyFont="1" applyBorder="1" applyAlignment="1">
      <alignment horizontal="center"/>
    </xf>
    <xf numFmtId="0" fontId="2" fillId="2" borderId="2" xfId="1" applyFont="1" applyBorder="1" applyAlignment="1">
      <alignment horizontal="center"/>
    </xf>
    <xf numFmtId="0" fontId="2" fillId="2" borderId="0" xfId="1" applyFont="1" applyBorder="1" applyAlignment="1">
      <alignment horizontal="center"/>
    </xf>
    <xf numFmtId="0" fontId="6" fillId="6" borderId="9" xfId="5" applyFont="1" applyBorder="1" applyAlignment="1">
      <alignment horizontal="center"/>
    </xf>
    <xf numFmtId="0" fontId="2" fillId="6" borderId="9" xfId="5" applyFont="1" applyBorder="1" applyAlignment="1">
      <alignment horizontal="center" vertical="center"/>
    </xf>
    <xf numFmtId="0" fontId="3" fillId="10" borderId="9" xfId="9" applyFont="1" applyBorder="1" applyAlignment="1">
      <alignment horizontal="center" vertical="center"/>
    </xf>
    <xf numFmtId="0" fontId="3" fillId="14" borderId="9" xfId="13" applyFont="1" applyBorder="1" applyAlignment="1">
      <alignment horizontal="center" vertical="center"/>
    </xf>
    <xf numFmtId="0" fontId="3" fillId="17" borderId="9" xfId="16" applyFont="1" applyBorder="1" applyAlignment="1">
      <alignment horizontal="center" vertical="center"/>
    </xf>
    <xf numFmtId="0" fontId="4" fillId="6" borderId="9" xfId="5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9">
    <cellStyle name="20% - Accent1" xfId="2" builtinId="30"/>
    <cellStyle name="20% - Accent2" xfId="6" builtinId="34"/>
    <cellStyle name="20% - Accent4" xfId="11" builtinId="42"/>
    <cellStyle name="20% - Accent6" xfId="15" builtinId="50"/>
    <cellStyle name="40% - Accent1" xfId="3" builtinId="31"/>
    <cellStyle name="40% - Accent2" xfId="7" builtinId="35"/>
    <cellStyle name="40% - Accent3" xfId="9" builtinId="39"/>
    <cellStyle name="40% - Accent4" xfId="12" builtinId="43"/>
    <cellStyle name="40% - Accent5" xfId="13" builtinId="47"/>
    <cellStyle name="40% - Accent6" xfId="16" builtinId="51"/>
    <cellStyle name="60% - Accent1" xfId="4" builtinId="32"/>
    <cellStyle name="Accent1" xfId="1" builtinId="29"/>
    <cellStyle name="Accent2" xfId="5" builtinId="33"/>
    <cellStyle name="Accent3" xfId="8" builtinId="37"/>
    <cellStyle name="Accent4" xfId="10" builtinId="41"/>
    <cellStyle name="Accent6" xfId="14" builtinId="49"/>
    <cellStyle name="Comma" xfId="17" builtinId="3"/>
    <cellStyle name="Hyperlink" xfId="18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localhost/phpmyadmin/index.php?route=/sql&amp;pos=0&amp;db=exhibit_portal&amp;table=participants_update" TargetMode="External"/><Relationship Id="rId2" Type="http://schemas.openxmlformats.org/officeDocument/2006/relationships/hyperlink" Target="http://localhost/phpmyadmin/index.php?route=/sql&amp;pos=0&amp;db=exhibit_portal&amp;table=participants" TargetMode="External"/><Relationship Id="rId1" Type="http://schemas.openxmlformats.org/officeDocument/2006/relationships/hyperlink" Target="http://localhost/phpmyadmin/index.php?route=/sql&amp;pos=0&amp;db=exhibit_portal&amp;table=attendees_list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://localhost/phpmyadmin/index.php?route=/sql&amp;pos=0&amp;db=exhibit_portal&amp;table=assigned_agent_logs" TargetMode="External"/><Relationship Id="rId4" Type="http://schemas.openxmlformats.org/officeDocument/2006/relationships/hyperlink" Target="http://localhost/phpmyadmin/index.php?route=/sql&amp;pos=0&amp;db=exhibit_portal&amp;table=assigned_ag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AA29"/>
  <sheetViews>
    <sheetView topLeftCell="L4" zoomScaleNormal="100" workbookViewId="0">
      <selection activeCell="J21" sqref="J21"/>
    </sheetView>
  </sheetViews>
  <sheetFormatPr defaultRowHeight="15" x14ac:dyDescent="0.25"/>
  <cols>
    <col min="2" max="2" width="10.85546875" customWidth="1"/>
    <col min="3" max="3" width="11" bestFit="1" customWidth="1"/>
    <col min="5" max="5" width="11" bestFit="1" customWidth="1"/>
    <col min="6" max="6" width="11.42578125" customWidth="1"/>
    <col min="7" max="7" width="9.7109375" bestFit="1" customWidth="1"/>
    <col min="8" max="8" width="10.7109375" customWidth="1"/>
    <col min="9" max="9" width="10.85546875" bestFit="1" customWidth="1"/>
    <col min="10" max="10" width="10.5703125" customWidth="1"/>
    <col min="12" max="12" width="7.42578125" customWidth="1"/>
    <col min="14" max="14" width="14.28515625" bestFit="1" customWidth="1"/>
    <col min="15" max="15" width="12.42578125" bestFit="1" customWidth="1"/>
    <col min="16" max="16" width="12.140625" style="20" bestFit="1" customWidth="1"/>
    <col min="17" max="17" width="15.140625" style="20" bestFit="1" customWidth="1"/>
    <col min="18" max="18" width="16.28515625" bestFit="1" customWidth="1"/>
    <col min="19" max="19" width="14" bestFit="1" customWidth="1"/>
    <col min="20" max="20" width="13.85546875" bestFit="1" customWidth="1"/>
    <col min="21" max="21" width="16.140625" bestFit="1" customWidth="1"/>
    <col min="22" max="22" width="16.28515625" bestFit="1" customWidth="1"/>
    <col min="23" max="23" width="14.5703125" bestFit="1" customWidth="1"/>
    <col min="24" max="24" width="12.140625" bestFit="1" customWidth="1"/>
    <col min="25" max="25" width="15.140625" bestFit="1" customWidth="1"/>
    <col min="26" max="26" width="6.28515625" bestFit="1" customWidth="1"/>
    <col min="27" max="27" width="16.140625" bestFit="1" customWidth="1"/>
  </cols>
  <sheetData>
    <row r="4" spans="2:27" ht="21" x14ac:dyDescent="0.35">
      <c r="C4" s="59" t="s">
        <v>1</v>
      </c>
      <c r="D4" s="59"/>
      <c r="E4" s="60" t="s">
        <v>3</v>
      </c>
      <c r="F4" s="60"/>
      <c r="G4" s="61" t="s">
        <v>2</v>
      </c>
      <c r="H4" s="61"/>
      <c r="I4" s="62" t="s">
        <v>6</v>
      </c>
      <c r="J4" s="62"/>
    </row>
    <row r="5" spans="2:27" x14ac:dyDescent="0.25">
      <c r="B5" s="15" t="s">
        <v>0</v>
      </c>
      <c r="C5" s="17" t="s">
        <v>4</v>
      </c>
      <c r="D5" s="17" t="s">
        <v>5</v>
      </c>
      <c r="E5" s="1" t="s">
        <v>4</v>
      </c>
      <c r="F5" s="1" t="s">
        <v>5</v>
      </c>
      <c r="G5" s="2" t="s">
        <v>4</v>
      </c>
      <c r="H5" s="2" t="s">
        <v>5</v>
      </c>
      <c r="I5" s="9" t="s">
        <v>7</v>
      </c>
      <c r="J5" s="9" t="s">
        <v>8</v>
      </c>
    </row>
    <row r="6" spans="2:27" x14ac:dyDescent="0.25">
      <c r="B6" s="14">
        <v>2026</v>
      </c>
      <c r="C6" s="11">
        <v>500</v>
      </c>
      <c r="D6" s="11">
        <v>250</v>
      </c>
      <c r="E6" s="12">
        <v>400</v>
      </c>
      <c r="F6" s="12">
        <v>150</v>
      </c>
      <c r="G6" s="13">
        <v>300</v>
      </c>
      <c r="H6" s="13">
        <v>100</v>
      </c>
      <c r="I6" s="14">
        <f>C6+E6+G6</f>
        <v>1200</v>
      </c>
      <c r="J6" s="14">
        <f>D6+F6+H6</f>
        <v>500</v>
      </c>
    </row>
    <row r="7" spans="2:27" x14ac:dyDescent="0.25">
      <c r="B7" s="14">
        <v>2025</v>
      </c>
      <c r="C7" s="11">
        <v>500</v>
      </c>
      <c r="D7" s="11">
        <v>250</v>
      </c>
      <c r="E7" s="12">
        <v>400</v>
      </c>
      <c r="F7" s="12">
        <v>150</v>
      </c>
      <c r="G7" s="13">
        <v>300</v>
      </c>
      <c r="H7" s="13">
        <v>100</v>
      </c>
      <c r="I7" s="14">
        <f>C7+E7+G7</f>
        <v>1200</v>
      </c>
      <c r="J7" s="14">
        <f>D7+F7+H7</f>
        <v>500</v>
      </c>
    </row>
    <row r="8" spans="2:27" x14ac:dyDescent="0.25">
      <c r="B8" s="10"/>
      <c r="C8" s="3"/>
      <c r="D8" s="3"/>
      <c r="E8" s="4"/>
      <c r="F8" s="4"/>
      <c r="G8" s="5"/>
      <c r="H8" s="5"/>
      <c r="I8" s="10"/>
      <c r="J8" s="10"/>
    </row>
    <row r="9" spans="2:27" x14ac:dyDescent="0.25">
      <c r="B9" s="10"/>
      <c r="C9" s="3"/>
      <c r="D9" s="3"/>
      <c r="E9" s="4"/>
      <c r="F9" s="4"/>
      <c r="G9" s="5"/>
      <c r="H9" s="5"/>
      <c r="I9" s="10"/>
      <c r="J9" s="10"/>
    </row>
    <row r="10" spans="2:27" x14ac:dyDescent="0.25">
      <c r="B10" s="10"/>
      <c r="C10" s="3"/>
      <c r="D10" s="3"/>
      <c r="E10" s="4"/>
      <c r="F10" s="4"/>
      <c r="G10" s="5"/>
      <c r="H10" s="5"/>
      <c r="I10" s="10"/>
      <c r="J10" s="10"/>
    </row>
    <row r="11" spans="2:27" x14ac:dyDescent="0.25">
      <c r="B11" s="10"/>
      <c r="C11" s="3"/>
      <c r="D11" s="3"/>
      <c r="E11" s="4"/>
      <c r="F11" s="4"/>
      <c r="G11" s="5"/>
      <c r="H11" s="5"/>
      <c r="I11" s="10"/>
      <c r="J11" s="10"/>
    </row>
    <row r="12" spans="2:27" x14ac:dyDescent="0.25">
      <c r="B12" s="10"/>
      <c r="C12" s="3"/>
      <c r="D12" s="3"/>
      <c r="E12" s="4"/>
      <c r="F12" s="4"/>
      <c r="G12" s="5"/>
      <c r="H12" s="5"/>
      <c r="I12" s="10"/>
      <c r="J12" s="10"/>
    </row>
    <row r="13" spans="2:27" x14ac:dyDescent="0.25">
      <c r="B13" s="10"/>
      <c r="C13" s="3"/>
      <c r="D13" s="3"/>
      <c r="E13" s="4"/>
      <c r="F13" s="4"/>
      <c r="G13" s="5"/>
      <c r="H13" s="5"/>
      <c r="I13" s="10"/>
      <c r="J13" s="10"/>
    </row>
    <row r="14" spans="2:27" x14ac:dyDescent="0.25">
      <c r="B14" s="10"/>
      <c r="C14" s="3"/>
      <c r="D14" s="3"/>
      <c r="E14" s="4"/>
      <c r="F14" s="4"/>
      <c r="G14" s="5"/>
      <c r="H14" s="5"/>
      <c r="I14" s="10"/>
      <c r="J14" s="10"/>
    </row>
    <row r="15" spans="2:27" x14ac:dyDescent="0.25">
      <c r="B15" s="10"/>
      <c r="C15" s="3"/>
      <c r="D15" s="3"/>
      <c r="E15" s="4"/>
      <c r="F15" s="4"/>
      <c r="G15" s="5"/>
      <c r="H15" s="5"/>
      <c r="I15" s="10"/>
      <c r="J15" s="10"/>
    </row>
    <row r="16" spans="2:27" ht="21" x14ac:dyDescent="0.35">
      <c r="B16" s="10"/>
      <c r="C16" s="3"/>
      <c r="D16" s="3"/>
      <c r="E16" s="4"/>
      <c r="F16" s="4"/>
      <c r="G16" s="5"/>
      <c r="H16" s="5"/>
      <c r="I16" s="10"/>
      <c r="J16" s="10"/>
      <c r="N16" s="56" t="s">
        <v>1</v>
      </c>
      <c r="O16" s="57"/>
      <c r="P16" s="57"/>
      <c r="Q16" s="58"/>
      <c r="R16" s="53" t="s">
        <v>3</v>
      </c>
      <c r="S16" s="54"/>
      <c r="T16" s="54"/>
      <c r="U16" s="55"/>
      <c r="V16" s="50" t="s">
        <v>2</v>
      </c>
      <c r="W16" s="51"/>
      <c r="X16" s="51"/>
      <c r="Y16" s="52"/>
      <c r="Z16" s="63" t="s">
        <v>15</v>
      </c>
      <c r="AA16" s="64"/>
    </row>
    <row r="17" spans="13:27" ht="21" x14ac:dyDescent="0.35">
      <c r="N17" s="26" t="s">
        <v>12</v>
      </c>
      <c r="O17" s="26" t="s">
        <v>13</v>
      </c>
      <c r="P17" s="26" t="s">
        <v>14</v>
      </c>
      <c r="Q17" s="30" t="s">
        <v>6</v>
      </c>
      <c r="R17" s="28" t="s">
        <v>12</v>
      </c>
      <c r="S17" s="28" t="s">
        <v>13</v>
      </c>
      <c r="T17" s="28" t="s">
        <v>14</v>
      </c>
      <c r="U17" s="27" t="s">
        <v>11</v>
      </c>
      <c r="V17" s="29" t="s">
        <v>12</v>
      </c>
      <c r="W17" s="29" t="s">
        <v>13</v>
      </c>
      <c r="X17" s="29" t="s">
        <v>14</v>
      </c>
      <c r="Y17" s="31" t="s">
        <v>6</v>
      </c>
      <c r="Z17" s="49" t="s">
        <v>9</v>
      </c>
      <c r="AA17" s="49"/>
    </row>
    <row r="18" spans="13:27" x14ac:dyDescent="0.25">
      <c r="M18" s="15" t="s">
        <v>0</v>
      </c>
      <c r="N18" s="18" t="s">
        <v>17</v>
      </c>
      <c r="O18" s="18" t="s">
        <v>16</v>
      </c>
      <c r="P18" s="18" t="s">
        <v>18</v>
      </c>
      <c r="Q18" s="18" t="s">
        <v>10</v>
      </c>
      <c r="R18" s="21" t="s">
        <v>19</v>
      </c>
      <c r="S18" s="21" t="s">
        <v>16</v>
      </c>
      <c r="T18" s="21" t="s">
        <v>18</v>
      </c>
      <c r="U18" s="21" t="s">
        <v>10</v>
      </c>
      <c r="V18" s="2" t="s">
        <v>17</v>
      </c>
      <c r="W18" s="2" t="s">
        <v>16</v>
      </c>
      <c r="X18" s="2" t="s">
        <v>18</v>
      </c>
      <c r="Y18" s="2" t="s">
        <v>10</v>
      </c>
      <c r="Z18" s="22" t="s">
        <v>8</v>
      </c>
      <c r="AA18" s="23" t="s">
        <v>10</v>
      </c>
    </row>
    <row r="19" spans="13:27" ht="23.25" x14ac:dyDescent="0.35">
      <c r="M19" s="14">
        <v>2026</v>
      </c>
      <c r="N19" s="11">
        <v>100</v>
      </c>
      <c r="O19" s="11">
        <v>100</v>
      </c>
      <c r="P19" s="11">
        <v>50</v>
      </c>
      <c r="Q19" s="24">
        <v>1500000</v>
      </c>
      <c r="R19" s="12">
        <v>50</v>
      </c>
      <c r="S19" s="12">
        <v>50</v>
      </c>
      <c r="T19" s="12">
        <v>50</v>
      </c>
      <c r="U19" s="24">
        <v>2500000</v>
      </c>
      <c r="V19" s="13">
        <v>40</v>
      </c>
      <c r="W19" s="13">
        <v>30</v>
      </c>
      <c r="X19" s="13">
        <v>30</v>
      </c>
      <c r="Y19" s="24">
        <v>1000000</v>
      </c>
      <c r="Z19" s="14">
        <f>X19+W19+V19+T19+S19+R19+P19+O19+N19</f>
        <v>500</v>
      </c>
      <c r="AA19" s="25">
        <f>Y19+U19+Q19</f>
        <v>5000000</v>
      </c>
    </row>
    <row r="20" spans="13:27" x14ac:dyDescent="0.25">
      <c r="M20" s="10"/>
      <c r="N20" s="3"/>
      <c r="O20" s="3"/>
      <c r="P20" s="19"/>
      <c r="Q20" s="19"/>
      <c r="R20" s="4"/>
      <c r="S20" s="4"/>
      <c r="T20" s="4"/>
      <c r="U20" s="4"/>
      <c r="V20" s="5"/>
      <c r="W20" s="5"/>
      <c r="X20" s="5"/>
      <c r="Y20" s="5"/>
      <c r="Z20" s="10"/>
      <c r="AA20" s="10"/>
    </row>
    <row r="21" spans="13:27" x14ac:dyDescent="0.25">
      <c r="M21" s="10"/>
      <c r="N21" s="3"/>
      <c r="O21" s="3"/>
      <c r="P21" s="19"/>
      <c r="Q21" s="19"/>
      <c r="R21" s="4"/>
      <c r="S21" s="4"/>
      <c r="T21" s="4"/>
      <c r="U21" s="4"/>
      <c r="V21" s="5"/>
      <c r="W21" s="5"/>
      <c r="X21" s="5"/>
      <c r="Y21" s="5"/>
      <c r="Z21" s="10"/>
      <c r="AA21" s="10"/>
    </row>
    <row r="22" spans="13:27" x14ac:dyDescent="0.25">
      <c r="M22" s="10"/>
      <c r="N22" s="3"/>
      <c r="O22" s="3"/>
      <c r="P22" s="19"/>
      <c r="Q22" s="19"/>
      <c r="R22" s="4"/>
      <c r="S22" s="4"/>
      <c r="T22" s="4"/>
      <c r="U22" s="4"/>
      <c r="V22" s="5"/>
      <c r="W22" s="5"/>
      <c r="X22" s="5"/>
      <c r="Y22" s="5"/>
      <c r="Z22" s="10"/>
      <c r="AA22" s="10"/>
    </row>
    <row r="23" spans="13:27" x14ac:dyDescent="0.25">
      <c r="M23" s="10"/>
      <c r="N23" s="3"/>
      <c r="O23" s="3"/>
      <c r="P23" s="19"/>
      <c r="Q23" s="19"/>
      <c r="R23" s="4"/>
      <c r="S23" s="4"/>
      <c r="T23" s="4"/>
      <c r="U23" s="4"/>
      <c r="V23" s="5"/>
      <c r="W23" s="5"/>
      <c r="X23" s="5"/>
      <c r="Y23" s="5"/>
      <c r="Z23" s="10"/>
      <c r="AA23" s="10"/>
    </row>
    <row r="24" spans="13:27" x14ac:dyDescent="0.25">
      <c r="M24" s="10"/>
      <c r="N24" s="3"/>
      <c r="O24" s="3"/>
      <c r="P24" s="19"/>
      <c r="Q24" s="19"/>
      <c r="R24" s="4"/>
      <c r="S24" s="4"/>
      <c r="T24" s="4"/>
      <c r="U24" s="4"/>
      <c r="V24" s="5"/>
      <c r="W24" s="5"/>
      <c r="X24" s="5"/>
      <c r="Y24" s="5"/>
      <c r="Z24" s="10"/>
      <c r="AA24" s="10"/>
    </row>
    <row r="25" spans="13:27" x14ac:dyDescent="0.25">
      <c r="M25" s="10"/>
      <c r="N25" s="3"/>
      <c r="O25" s="3"/>
      <c r="P25" s="19"/>
      <c r="Q25" s="19"/>
      <c r="R25" s="4"/>
      <c r="S25" s="4"/>
      <c r="T25" s="4"/>
      <c r="U25" s="4"/>
      <c r="V25" s="5"/>
      <c r="W25" s="5"/>
      <c r="X25" s="5"/>
      <c r="Y25" s="5"/>
      <c r="Z25" s="10"/>
      <c r="AA25" s="10"/>
    </row>
    <row r="26" spans="13:27" x14ac:dyDescent="0.25">
      <c r="M26" s="10"/>
      <c r="N26" s="3"/>
      <c r="O26" s="3"/>
      <c r="P26" s="19"/>
      <c r="Q26" s="19"/>
      <c r="R26" s="4"/>
      <c r="S26" s="4"/>
      <c r="T26" s="4"/>
      <c r="U26" s="4"/>
      <c r="V26" s="5"/>
      <c r="W26" s="5"/>
      <c r="X26" s="5"/>
      <c r="Y26" s="5"/>
      <c r="Z26" s="10"/>
      <c r="AA26" s="10"/>
    </row>
    <row r="27" spans="13:27" x14ac:dyDescent="0.25">
      <c r="M27" s="10"/>
      <c r="N27" s="3"/>
      <c r="O27" s="3"/>
      <c r="P27" s="19"/>
      <c r="Q27" s="19"/>
      <c r="R27" s="4"/>
      <c r="S27" s="4"/>
      <c r="T27" s="4"/>
      <c r="U27" s="4"/>
      <c r="V27" s="5"/>
      <c r="W27" s="5"/>
      <c r="X27" s="5"/>
      <c r="Y27" s="5"/>
      <c r="Z27" s="10"/>
      <c r="AA27" s="10"/>
    </row>
    <row r="28" spans="13:27" x14ac:dyDescent="0.25">
      <c r="M28" s="10"/>
      <c r="N28" s="3"/>
      <c r="O28" s="3"/>
      <c r="P28" s="19"/>
      <c r="Q28" s="19"/>
      <c r="R28" s="4"/>
      <c r="S28" s="4"/>
      <c r="T28" s="4"/>
      <c r="U28" s="4"/>
      <c r="V28" s="5"/>
      <c r="W28" s="5"/>
      <c r="X28" s="5"/>
      <c r="Y28" s="5"/>
      <c r="Z28" s="10"/>
      <c r="AA28" s="10"/>
    </row>
    <row r="29" spans="13:27" x14ac:dyDescent="0.25">
      <c r="M29" s="10"/>
      <c r="N29" s="3"/>
      <c r="O29" s="3"/>
      <c r="P29" s="19"/>
      <c r="Q29" s="19"/>
      <c r="R29" s="4"/>
      <c r="S29" s="4"/>
      <c r="T29" s="4"/>
      <c r="U29" s="4"/>
      <c r="V29" s="5"/>
      <c r="W29" s="5"/>
      <c r="X29" s="5"/>
      <c r="Y29" s="5"/>
      <c r="Z29" s="10"/>
      <c r="AA29" s="10"/>
    </row>
  </sheetData>
  <mergeCells count="9">
    <mergeCell ref="Z17:AA17"/>
    <mergeCell ref="V16:Y16"/>
    <mergeCell ref="R16:U16"/>
    <mergeCell ref="N16:Q16"/>
    <mergeCell ref="C4:D4"/>
    <mergeCell ref="E4:F4"/>
    <mergeCell ref="G4:H4"/>
    <mergeCell ref="I4:J4"/>
    <mergeCell ref="Z16:AA16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10"/>
  <sheetViews>
    <sheetView workbookViewId="0">
      <selection activeCell="D30" sqref="D30"/>
    </sheetView>
  </sheetViews>
  <sheetFormatPr defaultRowHeight="15" x14ac:dyDescent="0.25"/>
  <cols>
    <col min="1" max="1" width="15.28515625" bestFit="1" customWidth="1"/>
    <col min="2" max="2" width="16.28515625" customWidth="1"/>
    <col min="3" max="3" width="15.28515625" customWidth="1"/>
    <col min="4" max="4" width="15.5703125" bestFit="1" customWidth="1"/>
    <col min="5" max="5" width="15" customWidth="1"/>
    <col min="6" max="6" width="15.5703125" bestFit="1" customWidth="1"/>
    <col min="7" max="7" width="14.140625" customWidth="1"/>
    <col min="8" max="8" width="17.140625" customWidth="1"/>
    <col min="9" max="9" width="16.85546875" bestFit="1" customWidth="1"/>
  </cols>
  <sheetData>
    <row r="3" spans="1:9" ht="21" x14ac:dyDescent="0.35">
      <c r="A3" s="65" t="s">
        <v>20</v>
      </c>
      <c r="B3" s="65"/>
      <c r="C3" s="65"/>
      <c r="D3" s="65"/>
      <c r="E3" s="65"/>
      <c r="F3" s="65"/>
      <c r="G3" s="65"/>
      <c r="H3" s="65"/>
      <c r="I3" s="65"/>
    </row>
    <row r="4" spans="1:9" x14ac:dyDescent="0.25">
      <c r="A4" s="66" t="s">
        <v>6</v>
      </c>
      <c r="B4" s="66"/>
      <c r="C4" s="69" t="s">
        <v>12</v>
      </c>
      <c r="D4" s="69"/>
      <c r="E4" s="68" t="s">
        <v>13</v>
      </c>
      <c r="F4" s="68"/>
      <c r="G4" s="67" t="s">
        <v>14</v>
      </c>
      <c r="H4" s="67"/>
      <c r="I4" s="32" t="s">
        <v>6</v>
      </c>
    </row>
    <row r="5" spans="1:9" x14ac:dyDescent="0.25">
      <c r="A5" s="66"/>
      <c r="B5" s="66"/>
      <c r="C5" s="33" t="s">
        <v>17</v>
      </c>
      <c r="D5" s="33" t="s">
        <v>6</v>
      </c>
      <c r="E5" s="34" t="s">
        <v>16</v>
      </c>
      <c r="F5" s="34" t="s">
        <v>6</v>
      </c>
      <c r="G5" s="35" t="s">
        <v>18</v>
      </c>
      <c r="H5" s="35" t="s">
        <v>6</v>
      </c>
      <c r="I5" s="70" t="s">
        <v>10</v>
      </c>
    </row>
    <row r="6" spans="1:9" ht="45" x14ac:dyDescent="0.25">
      <c r="A6" s="36" t="s">
        <v>23</v>
      </c>
      <c r="B6" s="36" t="s">
        <v>21</v>
      </c>
      <c r="C6" s="37" t="s">
        <v>22</v>
      </c>
      <c r="D6" s="37" t="s">
        <v>10</v>
      </c>
      <c r="E6" s="38" t="s">
        <v>22</v>
      </c>
      <c r="F6" s="38" t="s">
        <v>10</v>
      </c>
      <c r="G6" s="39" t="s">
        <v>22</v>
      </c>
      <c r="H6" s="39" t="s">
        <v>10</v>
      </c>
      <c r="I6" s="70"/>
    </row>
    <row r="7" spans="1:9" ht="23.25" x14ac:dyDescent="0.25">
      <c r="A7" s="40">
        <v>500</v>
      </c>
      <c r="B7" s="40">
        <f>C7+E7+G7</f>
        <v>250</v>
      </c>
      <c r="C7" s="40">
        <v>100</v>
      </c>
      <c r="D7" s="41">
        <v>4500000</v>
      </c>
      <c r="E7" s="40">
        <v>100</v>
      </c>
      <c r="F7" s="41">
        <v>4500000</v>
      </c>
      <c r="G7" s="40">
        <v>50</v>
      </c>
      <c r="H7" s="41">
        <v>4500000</v>
      </c>
      <c r="I7" s="42">
        <f>H7+F7+D7</f>
        <v>13500000</v>
      </c>
    </row>
    <row r="10" spans="1:9" x14ac:dyDescent="0.25">
      <c r="I10" s="48"/>
    </row>
  </sheetData>
  <mergeCells count="6">
    <mergeCell ref="A3:I3"/>
    <mergeCell ref="A4:B5"/>
    <mergeCell ref="G4:H4"/>
    <mergeCell ref="E4:F4"/>
    <mergeCell ref="C4:D4"/>
    <mergeCell ref="I5:I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T39"/>
  <sheetViews>
    <sheetView workbookViewId="0">
      <selection activeCell="F26" sqref="F26"/>
    </sheetView>
  </sheetViews>
  <sheetFormatPr defaultRowHeight="15" x14ac:dyDescent="0.25"/>
  <cols>
    <col min="4" max="4" width="13.7109375" bestFit="1" customWidth="1"/>
    <col min="5" max="5" width="22.42578125" bestFit="1" customWidth="1"/>
    <col min="6" max="6" width="9.7109375" bestFit="1" customWidth="1"/>
    <col min="11" max="11" width="18.5703125" customWidth="1"/>
    <col min="12" max="12" width="15.85546875" bestFit="1" customWidth="1"/>
    <col min="13" max="13" width="13.28515625" customWidth="1"/>
    <col min="14" max="14" width="17.28515625" customWidth="1"/>
    <col min="15" max="15" width="13.140625" bestFit="1" customWidth="1"/>
    <col min="16" max="16" width="13.85546875" customWidth="1"/>
    <col min="17" max="17" width="15.85546875" customWidth="1"/>
    <col min="18" max="18" width="17.42578125" customWidth="1"/>
    <col min="19" max="19" width="10.7109375" customWidth="1"/>
    <col min="20" max="20" width="42.28515625" bestFit="1" customWidth="1"/>
  </cols>
  <sheetData>
    <row r="3" spans="3:20" x14ac:dyDescent="0.25">
      <c r="T3" t="s">
        <v>33</v>
      </c>
    </row>
    <row r="4" spans="3:20" ht="21" x14ac:dyDescent="0.35">
      <c r="D4" s="16" t="s">
        <v>1</v>
      </c>
      <c r="E4" s="6" t="s">
        <v>3</v>
      </c>
      <c r="F4" s="7" t="s">
        <v>2</v>
      </c>
      <c r="G4" s="8" t="s">
        <v>6</v>
      </c>
      <c r="K4" s="56" t="s">
        <v>1</v>
      </c>
      <c r="L4" s="57"/>
      <c r="M4" s="57"/>
      <c r="N4" s="57"/>
      <c r="O4" s="58"/>
      <c r="T4" s="45" t="s">
        <v>28</v>
      </c>
    </row>
    <row r="5" spans="3:20" x14ac:dyDescent="0.25">
      <c r="C5" s="15" t="s">
        <v>0</v>
      </c>
      <c r="D5" s="17" t="s">
        <v>4</v>
      </c>
      <c r="E5" s="1" t="s">
        <v>4</v>
      </c>
      <c r="F5" s="2" t="s">
        <v>4</v>
      </c>
      <c r="G5" s="9" t="s">
        <v>7</v>
      </c>
      <c r="J5" s="15" t="s">
        <v>0</v>
      </c>
      <c r="K5" s="17" t="s">
        <v>23</v>
      </c>
      <c r="L5" s="1" t="s">
        <v>26</v>
      </c>
      <c r="M5" s="1" t="s">
        <v>25</v>
      </c>
      <c r="N5" s="1" t="s">
        <v>27</v>
      </c>
      <c r="O5" s="43" t="s">
        <v>24</v>
      </c>
      <c r="T5" s="45" t="s">
        <v>29</v>
      </c>
    </row>
    <row r="6" spans="3:20" x14ac:dyDescent="0.25">
      <c r="C6" s="14">
        <v>2026</v>
      </c>
      <c r="D6" s="11">
        <v>500</v>
      </c>
      <c r="E6" s="12">
        <v>400</v>
      </c>
      <c r="F6" s="13">
        <v>300</v>
      </c>
      <c r="G6" s="14">
        <f>D6+E6+F6</f>
        <v>1200</v>
      </c>
      <c r="J6" s="14">
        <v>2026</v>
      </c>
      <c r="K6" s="11">
        <v>500</v>
      </c>
      <c r="L6" s="12"/>
      <c r="M6" s="12"/>
      <c r="N6" s="13"/>
      <c r="O6" s="14"/>
      <c r="T6" s="45" t="s">
        <v>30</v>
      </c>
    </row>
    <row r="7" spans="3:20" x14ac:dyDescent="0.25">
      <c r="C7" s="14">
        <v>2025</v>
      </c>
      <c r="D7" s="11">
        <v>500</v>
      </c>
      <c r="E7" s="12">
        <v>400</v>
      </c>
      <c r="F7" s="13">
        <v>300</v>
      </c>
      <c r="G7" s="14">
        <f>D7+E7+F7</f>
        <v>1200</v>
      </c>
      <c r="J7" s="14">
        <v>2025</v>
      </c>
      <c r="K7" s="11">
        <v>500</v>
      </c>
      <c r="L7" s="12"/>
      <c r="M7" s="12"/>
      <c r="N7" s="13"/>
      <c r="O7" s="14"/>
      <c r="T7" s="45" t="s">
        <v>31</v>
      </c>
    </row>
    <row r="8" spans="3:20" x14ac:dyDescent="0.25">
      <c r="C8" s="10"/>
      <c r="D8" s="3"/>
      <c r="E8" s="4"/>
      <c r="F8" s="5"/>
      <c r="G8" s="10"/>
      <c r="J8" s="10"/>
      <c r="K8" s="3"/>
      <c r="L8" s="4"/>
      <c r="M8" s="4"/>
      <c r="N8" s="5"/>
      <c r="O8" s="10"/>
      <c r="T8" s="45" t="s">
        <v>32</v>
      </c>
    </row>
    <row r="9" spans="3:20" x14ac:dyDescent="0.25">
      <c r="C9" s="10"/>
      <c r="D9" s="3"/>
      <c r="E9" s="4"/>
      <c r="F9" s="5"/>
      <c r="G9" s="10"/>
      <c r="J9" s="10"/>
      <c r="K9" s="3"/>
      <c r="L9" s="4"/>
      <c r="M9" s="4"/>
      <c r="N9" s="5"/>
      <c r="O9" s="10"/>
      <c r="T9" s="45" t="s">
        <v>34</v>
      </c>
    </row>
    <row r="10" spans="3:20" x14ac:dyDescent="0.25">
      <c r="C10" s="10"/>
      <c r="D10" s="3"/>
      <c r="E10" s="4"/>
      <c r="F10" s="5"/>
      <c r="G10" s="10"/>
      <c r="J10" s="10"/>
      <c r="K10" s="3"/>
      <c r="L10" s="4"/>
      <c r="M10" s="4"/>
      <c r="N10" s="5"/>
      <c r="O10" s="10"/>
      <c r="T10" s="45" t="s">
        <v>39</v>
      </c>
    </row>
    <row r="11" spans="3:20" x14ac:dyDescent="0.25">
      <c r="C11" s="10"/>
      <c r="D11" s="3"/>
      <c r="E11" s="4"/>
      <c r="F11" s="5"/>
      <c r="G11" s="10"/>
      <c r="J11" s="10"/>
      <c r="K11" s="3"/>
      <c r="L11" s="4"/>
      <c r="M11" s="4"/>
      <c r="N11" s="5"/>
      <c r="O11" s="10"/>
      <c r="T11" s="45" t="s">
        <v>35</v>
      </c>
    </row>
    <row r="12" spans="3:20" x14ac:dyDescent="0.25">
      <c r="C12" s="10"/>
      <c r="D12" s="3"/>
      <c r="E12" s="4"/>
      <c r="F12" s="5"/>
      <c r="G12" s="10"/>
      <c r="J12" s="10"/>
      <c r="K12" s="3"/>
      <c r="L12" s="4"/>
      <c r="M12" s="4"/>
      <c r="N12" s="5"/>
      <c r="O12" s="10"/>
      <c r="T12" s="45" t="s">
        <v>36</v>
      </c>
    </row>
    <row r="13" spans="3:20" x14ac:dyDescent="0.25">
      <c r="C13" s="10"/>
      <c r="D13" s="3"/>
      <c r="E13" s="4"/>
      <c r="F13" s="5"/>
      <c r="G13" s="10"/>
      <c r="J13" s="10"/>
      <c r="K13" s="3"/>
      <c r="L13" s="4"/>
      <c r="M13" s="4"/>
      <c r="N13" s="5"/>
      <c r="O13" s="10"/>
      <c r="T13" s="45" t="s">
        <v>37</v>
      </c>
    </row>
    <row r="14" spans="3:20" x14ac:dyDescent="0.25">
      <c r="C14" s="10"/>
      <c r="D14" s="3"/>
      <c r="E14" s="4"/>
      <c r="F14" s="5"/>
      <c r="G14" s="10"/>
      <c r="J14" s="10"/>
      <c r="K14" s="3"/>
      <c r="L14" s="4"/>
      <c r="M14" s="4"/>
      <c r="N14" s="5"/>
      <c r="O14" s="10"/>
      <c r="T14" s="45" t="s">
        <v>38</v>
      </c>
    </row>
    <row r="15" spans="3:20" x14ac:dyDescent="0.25">
      <c r="C15" s="10"/>
      <c r="D15" s="3"/>
      <c r="E15" s="4"/>
      <c r="F15" s="5"/>
      <c r="G15" s="10"/>
      <c r="J15" s="10"/>
      <c r="K15" s="3"/>
      <c r="L15" s="4"/>
      <c r="M15" s="4"/>
      <c r="N15" s="5"/>
      <c r="O15" s="10"/>
      <c r="T15" s="45" t="s">
        <v>43</v>
      </c>
    </row>
    <row r="16" spans="3:20" x14ac:dyDescent="0.25">
      <c r="C16" s="10"/>
      <c r="D16" s="3"/>
      <c r="E16" s="4"/>
      <c r="F16" s="5"/>
      <c r="G16" s="10"/>
      <c r="J16" s="10"/>
      <c r="K16" s="3"/>
      <c r="L16" s="4"/>
      <c r="M16" s="4"/>
      <c r="N16" s="5"/>
      <c r="O16" s="10"/>
    </row>
    <row r="19" spans="15:20" x14ac:dyDescent="0.25">
      <c r="T19" t="s">
        <v>44</v>
      </c>
    </row>
    <row r="20" spans="15:20" x14ac:dyDescent="0.25">
      <c r="T20" s="44" t="s">
        <v>27</v>
      </c>
    </row>
    <row r="21" spans="15:20" x14ac:dyDescent="0.25">
      <c r="T21" s="44" t="s">
        <v>45</v>
      </c>
    </row>
    <row r="22" spans="15:20" x14ac:dyDescent="0.25">
      <c r="P22" t="s">
        <v>41</v>
      </c>
      <c r="Q22" t="s">
        <v>33</v>
      </c>
      <c r="R22" t="s">
        <v>44</v>
      </c>
      <c r="T22" s="44" t="s">
        <v>56</v>
      </c>
    </row>
    <row r="23" spans="15:20" x14ac:dyDescent="0.25">
      <c r="O23">
        <v>2025</v>
      </c>
      <c r="P23" t="s">
        <v>42</v>
      </c>
      <c r="Q23" t="s">
        <v>8</v>
      </c>
      <c r="R23" t="s">
        <v>27</v>
      </c>
    </row>
    <row r="24" spans="15:20" x14ac:dyDescent="0.25">
      <c r="O24">
        <v>2026</v>
      </c>
      <c r="P24" t="s">
        <v>42</v>
      </c>
      <c r="Q24" t="s">
        <v>40</v>
      </c>
      <c r="R24" t="s">
        <v>45</v>
      </c>
    </row>
    <row r="26" spans="15:20" x14ac:dyDescent="0.25">
      <c r="T26" s="46" t="s">
        <v>46</v>
      </c>
    </row>
    <row r="27" spans="15:20" ht="30" x14ac:dyDescent="0.25">
      <c r="T27" s="47" t="s">
        <v>47</v>
      </c>
    </row>
    <row r="29" spans="15:20" x14ac:dyDescent="0.25">
      <c r="T29" s="46" t="s">
        <v>48</v>
      </c>
    </row>
    <row r="30" spans="15:20" ht="30" x14ac:dyDescent="0.25">
      <c r="T30" s="47" t="s">
        <v>49</v>
      </c>
    </row>
    <row r="32" spans="15:20" x14ac:dyDescent="0.25">
      <c r="T32" s="46" t="s">
        <v>50</v>
      </c>
    </row>
    <row r="33" spans="20:20" ht="30" x14ac:dyDescent="0.25">
      <c r="T33" s="47" t="s">
        <v>51</v>
      </c>
    </row>
    <row r="35" spans="20:20" x14ac:dyDescent="0.25">
      <c r="T35" s="46" t="s">
        <v>52</v>
      </c>
    </row>
    <row r="36" spans="20:20" ht="30" x14ac:dyDescent="0.25">
      <c r="T36" s="47" t="s">
        <v>53</v>
      </c>
    </row>
    <row r="38" spans="20:20" x14ac:dyDescent="0.25">
      <c r="T38" s="46" t="s">
        <v>54</v>
      </c>
    </row>
    <row r="39" spans="20:20" ht="30" x14ac:dyDescent="0.25">
      <c r="T39" s="47" t="s">
        <v>55</v>
      </c>
    </row>
  </sheetData>
  <mergeCells count="1">
    <mergeCell ref="K4:O4"/>
  </mergeCells>
  <hyperlinks>
    <hyperlink ref="T26" r:id="rId1" tooltip="Browse" display="http://localhost/phpmyadmin/index.php?route=/sql&amp;pos=0&amp;db=exhibit_portal&amp;table=attendees_list"/>
    <hyperlink ref="T29" r:id="rId2" tooltip="Browse" display="http://localhost/phpmyadmin/index.php?route=/sql&amp;pos=0&amp;db=exhibit_portal&amp;table=participants"/>
    <hyperlink ref="T32" r:id="rId3" tooltip="Browse" display="http://localhost/phpmyadmin/index.php?route=/sql&amp;pos=0&amp;db=exhibit_portal&amp;table=participants_update"/>
    <hyperlink ref="T35" r:id="rId4" tooltip="Browse" display="http://localhost/phpmyadmin/index.php?route=/sql&amp;pos=0&amp;db=exhibit_portal&amp;table=assigned_agent"/>
    <hyperlink ref="T38" r:id="rId5" tooltip="Browse" display="http://localhost/phpmyadmin/index.php?route=/sql&amp;pos=0&amp;db=exhibit_portal&amp;table=assigned_agent_logs"/>
  </hyperlinks>
  <pageMargins left="0.7" right="0.7" top="0.75" bottom="0.75" header="0.3" footer="0.3"/>
  <pageSetup paperSize="9" orientation="portrait" verticalDpi="0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O17"/>
  <sheetViews>
    <sheetView tabSelected="1" workbookViewId="0">
      <selection activeCell="G26" sqref="G26"/>
    </sheetView>
  </sheetViews>
  <sheetFormatPr defaultRowHeight="15" x14ac:dyDescent="0.25"/>
  <cols>
    <col min="3" max="3" width="19.85546875" customWidth="1"/>
  </cols>
  <sheetData>
    <row r="4" spans="3:15" x14ac:dyDescent="0.25">
      <c r="C4" s="71" t="s">
        <v>57</v>
      </c>
      <c r="D4" s="72">
        <v>2026</v>
      </c>
      <c r="E4" s="72"/>
      <c r="F4" s="72"/>
    </row>
    <row r="5" spans="3:15" x14ac:dyDescent="0.25">
      <c r="C5" s="71" t="s">
        <v>58</v>
      </c>
      <c r="D5" s="72" t="s">
        <v>74</v>
      </c>
      <c r="E5" s="72"/>
      <c r="F5" s="72"/>
    </row>
    <row r="6" spans="3:15" x14ac:dyDescent="0.25"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</row>
    <row r="7" spans="3:15" x14ac:dyDescent="0.25">
      <c r="C7" s="73" t="s">
        <v>59</v>
      </c>
      <c r="D7" s="74" t="s">
        <v>60</v>
      </c>
      <c r="E7" s="74" t="s">
        <v>61</v>
      </c>
      <c r="F7" s="74" t="s">
        <v>62</v>
      </c>
      <c r="G7" s="74" t="s">
        <v>63</v>
      </c>
      <c r="H7" s="74" t="s">
        <v>64</v>
      </c>
      <c r="I7" s="74" t="s">
        <v>65</v>
      </c>
      <c r="J7" s="74" t="s">
        <v>66</v>
      </c>
      <c r="K7" s="74" t="s">
        <v>67</v>
      </c>
      <c r="L7" s="74" t="s">
        <v>68</v>
      </c>
      <c r="M7" s="74" t="s">
        <v>69</v>
      </c>
      <c r="N7" s="74" t="s">
        <v>70</v>
      </c>
      <c r="O7" s="74" t="s">
        <v>71</v>
      </c>
    </row>
    <row r="8" spans="3:15" x14ac:dyDescent="0.25">
      <c r="C8" s="75" t="s">
        <v>72</v>
      </c>
      <c r="D8" s="77">
        <v>100</v>
      </c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</row>
    <row r="9" spans="3:15" x14ac:dyDescent="0.25">
      <c r="C9" s="75" t="s">
        <v>73</v>
      </c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</row>
    <row r="10" spans="3:15" x14ac:dyDescent="0.25">
      <c r="C10" s="75" t="s">
        <v>75</v>
      </c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</row>
    <row r="14" spans="3:15" ht="30" x14ac:dyDescent="0.25">
      <c r="C14" s="47" t="s">
        <v>77</v>
      </c>
    </row>
    <row r="15" spans="3:15" x14ac:dyDescent="0.25">
      <c r="C15" s="73" t="s">
        <v>76</v>
      </c>
      <c r="D15" s="74" t="s">
        <v>60</v>
      </c>
      <c r="E15" s="74" t="s">
        <v>61</v>
      </c>
      <c r="F15" s="74" t="s">
        <v>62</v>
      </c>
      <c r="G15" s="74" t="s">
        <v>63</v>
      </c>
      <c r="H15" s="74" t="s">
        <v>64</v>
      </c>
      <c r="I15" s="74" t="s">
        <v>65</v>
      </c>
      <c r="J15" s="74" t="s">
        <v>66</v>
      </c>
      <c r="K15" s="74" t="s">
        <v>67</v>
      </c>
      <c r="L15" s="74" t="s">
        <v>68</v>
      </c>
      <c r="M15" s="74" t="s">
        <v>69</v>
      </c>
      <c r="N15" s="74" t="s">
        <v>70</v>
      </c>
      <c r="O15" s="74" t="s">
        <v>71</v>
      </c>
    </row>
    <row r="16" spans="3:15" x14ac:dyDescent="0.25">
      <c r="C16" s="71" t="s">
        <v>74</v>
      </c>
      <c r="D16" s="78">
        <v>0.8</v>
      </c>
      <c r="E16" s="78">
        <v>1.5</v>
      </c>
      <c r="F16" s="78">
        <v>1</v>
      </c>
      <c r="G16" s="79"/>
      <c r="H16" s="79"/>
      <c r="I16" s="79"/>
      <c r="J16" s="79"/>
      <c r="K16" s="79"/>
      <c r="L16" s="79"/>
      <c r="M16" s="79"/>
      <c r="N16" s="79"/>
      <c r="O16" s="79"/>
    </row>
    <row r="17" spans="3:15" x14ac:dyDescent="0.25">
      <c r="C17" s="71" t="s">
        <v>78</v>
      </c>
      <c r="D17" s="78">
        <v>1</v>
      </c>
      <c r="E17" s="78">
        <v>1</v>
      </c>
      <c r="F17" s="78">
        <v>1</v>
      </c>
      <c r="G17" s="71"/>
      <c r="H17" s="71"/>
      <c r="I17" s="71"/>
      <c r="J17" s="71"/>
      <c r="K17" s="71"/>
      <c r="L17" s="71"/>
      <c r="M17" s="71"/>
      <c r="N17" s="71"/>
      <c r="O17" s="71"/>
    </row>
  </sheetData>
  <mergeCells count="3">
    <mergeCell ref="D4:F4"/>
    <mergeCell ref="D5:F5"/>
    <mergeCell ref="C6:O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PER AREA AND PER EXHIBIT</vt:lpstr>
      <vt:lpstr>PER EXHIBIT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2026-04-14T07:44:00Z</dcterms:created>
  <dcterms:modified xsi:type="dcterms:W3CDTF">2026-04-28T09:16:57Z</dcterms:modified>
</cp:coreProperties>
</file>